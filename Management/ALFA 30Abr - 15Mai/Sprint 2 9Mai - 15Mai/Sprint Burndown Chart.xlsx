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4de7f8f47e6128/Ambiente de Trabalho/github-local/ADC-Final/Management/ALFA 30Abr - 15Mai/Sprint 1 1Mai - 8Mai/"/>
    </mc:Choice>
  </mc:AlternateContent>
  <xr:revisionPtr revIDLastSave="63" documentId="13_ncr:1_{76EC809A-6B6A-4F3E-824E-8D97F5996023}" xr6:coauthVersionLast="47" xr6:coauthVersionMax="47" xr10:uidLastSave="{45C2ED05-BAFE-4C13-93BA-C4A78C716C10}"/>
  <bookViews>
    <workbookView xWindow="-120" yWindow="-120" windowWidth="29040" windowHeight="15720" xr2:uid="{7BDE3856-E0CF-4973-AA88-B5AAEB022E91}"/>
  </bookViews>
  <sheets>
    <sheet name="Spri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H4" i="2"/>
  <c r="I4" i="2"/>
  <c r="J4" i="2"/>
  <c r="K4" i="2"/>
  <c r="F4" i="2"/>
  <c r="E4" i="2"/>
  <c r="E14" i="2"/>
  <c r="F14" i="2"/>
  <c r="G14" i="2"/>
  <c r="H14" i="2"/>
  <c r="I14" i="2"/>
  <c r="J14" i="2"/>
  <c r="K14" i="2"/>
  <c r="D15" i="2"/>
  <c r="E15" i="2" s="1"/>
  <c r="F15" i="2" s="1"/>
  <c r="G15" i="2" s="1"/>
  <c r="H15" i="2" s="1"/>
  <c r="I15" i="2" s="1"/>
  <c r="J15" i="2" s="1"/>
  <c r="K15" i="2" s="1"/>
  <c r="D16" i="2" l="1"/>
  <c r="I16" i="2" s="1"/>
  <c r="E16" i="2"/>
  <c r="F16" i="2" l="1"/>
  <c r="H16" i="2"/>
  <c r="K16" i="2"/>
  <c r="G16" i="2"/>
  <c r="J16" i="2"/>
</calcChain>
</file>

<file path=xl/sharedStrings.xml><?xml version="1.0" encoding="utf-8"?>
<sst xmlns="http://schemas.openxmlformats.org/spreadsheetml/2006/main" count="20" uniqueCount="20">
  <si>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</si>
  <si>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</si>
  <si>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</si>
  <si>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</si>
  <si>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</si>
  <si>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</si>
  <si>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</si>
  <si>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</si>
  <si>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</si>
  <si>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</si>
  <si>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</si>
  <si>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Sprint Burndown Chart</t>
  </si>
  <si>
    <t>Esforço Completo</t>
  </si>
  <si>
    <t>Esforço Restante</t>
  </si>
  <si>
    <t>Burndown Ideal</t>
  </si>
  <si>
    <t>Reunião de Equipa</t>
  </si>
  <si>
    <t>Gestão de Equipa (Scrum Management)</t>
  </si>
  <si>
    <r>
      <t xml:space="preserve">Scrum Manager: </t>
    </r>
    <r>
      <rPr>
        <sz val="11"/>
        <color theme="1"/>
        <rFont val="Aptos Narrow"/>
        <family val="2"/>
        <scheme val="minor"/>
      </rPr>
      <t>&lt;Nome | Nr&gt;</t>
    </r>
  </si>
  <si>
    <t>Sprint &lt;Nr&gt;</t>
  </si>
  <si>
    <t>Data de Ínicio: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</si>
</sst>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4" borderId="6" xfId="0" applyFill="1" applyBorder="1"/>
    <xf numFmtId="0" fontId="0" fillId="6" borderId="6" xfId="0" applyFill="1" applyBorder="1"/>
    <xf numFmtId="0" fontId="0" fillId="5" borderId="10" xfId="0" applyFill="1" applyBorder="1"/>
    <xf numFmtId="0" fontId="0" fillId="5" borderId="11" xfId="0" applyFill="1" applyBorder="1"/>
    <xf numFmtId="0" fontId="4" fillId="0" borderId="0" xfId="0" applyFont="1"/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Sprint 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Sprint!$D$5:$P$5</c15:sqref>
                  </c15:fullRef>
                </c:ext>
              </c:extLst>
              <c:f>Sprint!$D$5:$K$5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Sprint!$D$14:$P$14</c15:sqref>
                  </c15:fullRef>
                </c:ext>
              </c:extLst>
              <c:f>Sprint!$D$14:$K$14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Esforço Completo</c:v>
                </c15:tx>
              </c15:filteredSeriesTitle>
            </c:ext>
            <c:ext xmlns:c16="http://schemas.microsoft.com/office/drawing/2014/chart" uri="{C3380CC4-5D6E-409C-BE32-E72D297353CC}">
              <c16:uniqueId val="{00000000-3142-463E-A0DD-FC13E507E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050287"/>
        <c:axId val="211686518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Lit>
              <c:ptCount val="8"/>
              <c:pt idx="0">
                <c:v>Dia 0</c:v>
              </c:pt>
              <c:pt idx="1">
                <c:v>Dia 1</c:v>
              </c:pt>
              <c:pt idx="2">
                <c:v>Dia 2</c:v>
              </c:pt>
              <c:pt idx="3">
                <c:v>Dia 3</c:v>
              </c:pt>
              <c:pt idx="4">
                <c:v>Dia 4</c:v>
              </c:pt>
              <c:pt idx="5">
                <c:v>Dia 5</c:v>
              </c:pt>
              <c:pt idx="6">
                <c:v>Dia 6</c:v>
              </c:pt>
              <c:pt idx="7">
                <c:v>Dia 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Sprint!$D$15:$P$15</c15:sqref>
                  </c15:fullRef>
                </c:ext>
              </c:extLst>
              <c:f>Sprint!$D$15:$K$15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Esforço Restante</c:v>
                </c15:tx>
              </c15:filteredSeriesTitle>
            </c:ext>
            <c:ext xmlns:c16="http://schemas.microsoft.com/office/drawing/2014/chart" uri="{C3380CC4-5D6E-409C-BE32-E72D297353CC}">
              <c16:uniqueId val="{00000001-3142-463E-A0DD-FC13E507E65D}"/>
            </c:ext>
          </c:extLst>
        </c:ser>
        <c:ser>
          <c:idx val="2"/>
          <c:order val="2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8"/>
              <c:pt idx="0">
                <c:v>Dia 0</c:v>
              </c:pt>
              <c:pt idx="1">
                <c:v>Dia 1</c:v>
              </c:pt>
              <c:pt idx="2">
                <c:v>Dia 2</c:v>
              </c:pt>
              <c:pt idx="3">
                <c:v>Dia 3</c:v>
              </c:pt>
              <c:pt idx="4">
                <c:v>Dia 4</c:v>
              </c:pt>
              <c:pt idx="5">
                <c:v>Dia 5</c:v>
              </c:pt>
              <c:pt idx="6">
                <c:v>Dia 6</c:v>
              </c:pt>
              <c:pt idx="7">
                <c:v>Dia 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Sprint!$D$16:$P$16</c15:sqref>
                  </c15:fullRef>
                </c:ext>
              </c:extLst>
              <c:f>Sprint!$D$16:$K$16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Burndown Ideal</c:v>
                </c15:tx>
              </c15:filteredSeriesTitle>
            </c:ext>
            <c:ext xmlns:c16="http://schemas.microsoft.com/office/drawing/2014/chart" uri="{C3380CC4-5D6E-409C-BE32-E72D297353CC}">
              <c16:uniqueId val="{00000002-3142-463E-A0DD-FC13E507E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050287"/>
        <c:axId val="2116865183"/>
      </c:lineChart>
      <c:catAx>
        <c:axId val="20800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865183"/>
        <c:crosses val="autoZero"/>
        <c:auto val="1"/>
        <c:lblAlgn val="ctr"/>
        <c:lblOffset val="100"/>
        <c:noMultiLvlLbl val="0"/>
      </c:catAx>
      <c:valAx>
        <c:axId val="2116865183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5028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127145</xdr:colOff>
      <xdr:row>17</xdr:row>
      <xdr:rowOff>59762</xdr:rowOff>
    </xdr:from>
    <xdr:to>
      <xdr:col>4</xdr:col>
      <xdr:colOff>161925</xdr:colOff>
      <xdr:row>36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BCE4D-45C1-4231-AF86-A7C2A3B30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62D1-DFA3-48C7-B521-60F5243217FC}">
  <dimension ref="B1:K22"/>
  <sheetViews>
    <sheetView tabSelected="1" zoomScale="85" zoomScaleNormal="85" workbookViewId="0">
      <selection activeCell="K21" sqref="K21"/>
    </sheetView>
  </sheetViews>
  <sheetFormatPr defaultRowHeight="15" x14ac:dyDescent="0.25"/>
  <cols>
    <col min="3" max="3" width="66.42578125" customWidth="1"/>
    <col min="4" max="4" width="16.28515625" bestFit="1" customWidth="1"/>
    <col min="5" max="11" width="15.7109375" customWidth="1"/>
    <col min="12" max="16" width="10.42578125" bestFit="1" customWidth="1"/>
  </cols>
  <sheetData>
    <row r="1" spans="2:11" ht="15.75" thickBot="1" x14ac:dyDescent="0.3"/>
    <row r="2" spans="2:11" ht="14.45" customHeight="1" x14ac:dyDescent="0.25">
      <c r="B2" s="27" t="s">
        <v>11</v>
      </c>
      <c r="C2" s="28"/>
      <c r="D2" s="16" t="s">
        <v>18</v>
      </c>
      <c r="E2" s="17"/>
      <c r="F2" s="17"/>
      <c r="G2" s="17"/>
      <c r="H2" s="17"/>
      <c r="I2" s="17"/>
      <c r="J2" s="17"/>
      <c r="K2" s="18"/>
    </row>
    <row r="3" spans="2:11" ht="14.45" customHeight="1" x14ac:dyDescent="0.25">
      <c r="B3" s="29"/>
      <c r="C3" s="30"/>
      <c r="D3" s="19"/>
      <c r="E3" s="20"/>
      <c r="F3" s="20"/>
      <c r="G3" s="20"/>
      <c r="H3" s="20"/>
      <c r="I3" s="20"/>
      <c r="J3" s="20"/>
      <c r="K3" s="21"/>
    </row>
    <row r="4" spans="2:11" x14ac:dyDescent="0.25">
      <c r="B4" s="31" t="s">
        <v>0</v>
      </c>
      <c r="C4" s="32" t="s">
        <v>1</v>
      </c>
      <c r="D4" s="6" t="s">
        <v>2</v>
      </c>
      <c r="E4" s="3">
        <f xml:space="preserve"> K21</f>
        <v>46144</v>
      </c>
      <c r="F4" s="3">
        <f xml:space="preserve"> K21 +1</f>
        <v>46145</v>
      </c>
      <c r="G4" s="3">
        <f t="shared" ref="G4" si="0" xml:space="preserve"> M21</f>
        <v>0</v>
      </c>
      <c r="H4" s="3">
        <f t="shared" ref="H4" si="1" xml:space="preserve"> M21 +1</f>
        <v>1</v>
      </c>
      <c r="I4" s="3">
        <f t="shared" ref="I4" si="2" xml:space="preserve"> O21</f>
        <v>0</v>
      </c>
      <c r="J4" s="3">
        <f t="shared" ref="J4" si="3" xml:space="preserve"> O21 +1</f>
        <v>1</v>
      </c>
      <c r="K4" s="3">
        <f t="shared" ref="K4" si="4" xml:space="preserve"> Q21</f>
        <v>0</v>
      </c>
    </row>
    <row r="5" spans="2:11" x14ac:dyDescent="0.25">
      <c r="B5" s="31"/>
      <c r="C5" s="32"/>
      <c r="D5" s="6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8" t="s">
        <v>10</v>
      </c>
    </row>
    <row r="6" spans="2:11" x14ac:dyDescent="0.25">
      <c r="B6" s="9">
        <v>1</v>
      </c>
      <c r="C6" s="1" t="s">
        <v>16</v>
      </c>
      <c r="D6" s="7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2:11" x14ac:dyDescent="0.25">
      <c r="B7" s="9">
        <v>2</v>
      </c>
      <c r="C7" s="1"/>
      <c r="D7" s="7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0">
        <v>0</v>
      </c>
    </row>
    <row r="8" spans="2:11" x14ac:dyDescent="0.25">
      <c r="B8" s="9">
        <v>3</v>
      </c>
      <c r="C8" s="1"/>
      <c r="D8" s="7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0">
        <v>0</v>
      </c>
    </row>
    <row r="9" spans="2:11" x14ac:dyDescent="0.25">
      <c r="B9" s="9">
        <v>4</v>
      </c>
      <c r="C9" s="1"/>
      <c r="D9" s="7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0">
        <v>0</v>
      </c>
    </row>
    <row r="10" spans="2:11" x14ac:dyDescent="0.25">
      <c r="B10" s="9">
        <v>5</v>
      </c>
      <c r="C10" s="1"/>
      <c r="D10" s="7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0">
        <v>0</v>
      </c>
    </row>
    <row r="11" spans="2:11" x14ac:dyDescent="0.25">
      <c r="B11" s="9">
        <v>6</v>
      </c>
      <c r="C11" s="1"/>
      <c r="D11" s="7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0">
        <v>0</v>
      </c>
    </row>
    <row r="12" spans="2:11" x14ac:dyDescent="0.25">
      <c r="B12" s="9">
        <v>7</v>
      </c>
      <c r="C12" s="1"/>
      <c r="D12" s="7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0">
        <v>0</v>
      </c>
    </row>
    <row r="13" spans="2:11" x14ac:dyDescent="0.25">
      <c r="B13" s="9">
        <v>8</v>
      </c>
      <c r="C13" s="1" t="s">
        <v>15</v>
      </c>
      <c r="D13" s="7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0">
        <v>0</v>
      </c>
    </row>
    <row r="14" spans="2:11" x14ac:dyDescent="0.25">
      <c r="B14" s="33" t="s">
        <v>12</v>
      </c>
      <c r="C14" s="34"/>
      <c r="D14" s="4">
        <v>0</v>
      </c>
      <c r="E14" s="4">
        <f t="shared" ref="E14:K14" si="5">SUM(E6:E13)</f>
        <v>0</v>
      </c>
      <c r="F14" s="4">
        <f t="shared" si="5"/>
        <v>0</v>
      </c>
      <c r="G14" s="4">
        <f t="shared" si="5"/>
        <v>0</v>
      </c>
      <c r="H14" s="4">
        <f t="shared" si="5"/>
        <v>0</v>
      </c>
      <c r="I14" s="4">
        <f t="shared" si="5"/>
        <v>0</v>
      </c>
      <c r="J14" s="4">
        <f t="shared" si="5"/>
        <v>0</v>
      </c>
      <c r="K14" s="11">
        <f t="shared" si="5"/>
        <v>0</v>
      </c>
    </row>
    <row r="15" spans="2:11" x14ac:dyDescent="0.25">
      <c r="B15" s="35" t="s">
        <v>13</v>
      </c>
      <c r="C15" s="36"/>
      <c r="D15" s="5">
        <f>SUM(D6:D13)</f>
        <v>0</v>
      </c>
      <c r="E15" s="5">
        <f t="shared" ref="E15:K15" si="6">D15-SUM(E6:E13)</f>
        <v>0</v>
      </c>
      <c r="F15" s="5">
        <f t="shared" si="6"/>
        <v>0</v>
      </c>
      <c r="G15" s="5">
        <f t="shared" si="6"/>
        <v>0</v>
      </c>
      <c r="H15" s="5">
        <f t="shared" si="6"/>
        <v>0</v>
      </c>
      <c r="I15" s="5">
        <f t="shared" si="6"/>
        <v>0</v>
      </c>
      <c r="J15" s="5">
        <f t="shared" si="6"/>
        <v>0</v>
      </c>
      <c r="K15" s="12">
        <f t="shared" si="6"/>
        <v>0</v>
      </c>
    </row>
    <row r="16" spans="2:11" ht="15.75" thickBot="1" x14ac:dyDescent="0.3">
      <c r="B16" s="25" t="s">
        <v>14</v>
      </c>
      <c r="C16" s="26"/>
      <c r="D16" s="13">
        <f>D15</f>
        <v>0</v>
      </c>
      <c r="E16" s="13">
        <f>$D$16-($D$16/7*1)</f>
        <v>0</v>
      </c>
      <c r="F16" s="13">
        <f>$D$16-($D$16/7*2)</f>
        <v>0</v>
      </c>
      <c r="G16" s="13">
        <f>$D$16-($D$16/7*3)</f>
        <v>0</v>
      </c>
      <c r="H16" s="13">
        <f>$D$16-($D$16/7*4)</f>
        <v>0</v>
      </c>
      <c r="I16" s="13">
        <f>$D$16-($D$16/7*5)</f>
        <v>0</v>
      </c>
      <c r="J16" s="13">
        <f>$D$16-($D$16/7*6)</f>
        <v>0</v>
      </c>
      <c r="K16" s="14">
        <f>$D$16-($D$16/7*7)</f>
        <v>0</v>
      </c>
    </row>
    <row r="18" spans="7:11" ht="15.75" thickBot="1" x14ac:dyDescent="0.3"/>
    <row r="19" spans="7:11" ht="15.75" thickBot="1" x14ac:dyDescent="0.3">
      <c r="H19" s="22" t="s">
        <v>17</v>
      </c>
      <c r="I19" s="23"/>
      <c r="J19" s="23"/>
      <c r="K19" s="24"/>
    </row>
    <row r="21" spans="7:11" x14ac:dyDescent="0.25">
      <c r="J21" s="3" t="s">
        <v>19</v>
      </c>
      <c r="K21" s="3">
        <v>46144</v>
      </c>
    </row>
    <row r="22" spans="7:11" x14ac:dyDescent="0.25">
      <c r="G22" s="15"/>
    </row>
  </sheetData>
  <mergeCells count="8">
    <mergeCell ref="D2:K3"/>
    <mergeCell ref="H19:K19"/>
    <mergeCell ref="B16:C16"/>
    <mergeCell ref="B2:C3"/>
    <mergeCell ref="B4:B5"/>
    <mergeCell ref="C4:C5"/>
    <mergeCell ref="B14:C14"/>
    <mergeCell ref="B15:C15"/>
  </mergeCells>
  <pageMargins left="0.7" right="0.7" top="0.75" bottom="0.75" header="0.3" footer="0.3"/>
  <pageSetup paperSize="9" orientation="portrait" horizontalDpi="300" verticalDpi="300" r:id="rId1"/>
  <ignoredErrors>
    <ignoredError sqref="D1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Guerreiro</dc:creator>
  <cp:lastModifiedBy>Gonçalo Guerreiro</cp:lastModifiedBy>
  <cp:lastPrinted>2025-10-19T21:32:34Z</cp:lastPrinted>
  <dcterms:created xsi:type="dcterms:W3CDTF">2025-10-19T18:07:57Z</dcterms:created>
  <dcterms:modified xsi:type="dcterms:W3CDTF">2026-05-01T15:42:24Z</dcterms:modified>
</cp:coreProperties>
</file>